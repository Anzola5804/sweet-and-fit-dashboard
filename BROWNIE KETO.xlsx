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EST\Downloads\"/>
    </mc:Choice>
  </mc:AlternateContent>
  <xr:revisionPtr revIDLastSave="0" documentId="13_ncr:1_{505C2B6F-A004-457E-B63A-3D136B584E13}" xr6:coauthVersionLast="47" xr6:coauthVersionMax="47" xr10:uidLastSave="{00000000-0000-0000-0000-000000000000}"/>
  <bookViews>
    <workbookView xWindow="-120" yWindow="-120" windowWidth="29040" windowHeight="15720" xr2:uid="{D59963A8-B2E3-471F-A795-3DF76270EFD1}"/>
  </bookViews>
  <sheets>
    <sheet name="EURO Y NUEVO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7" i="1"/>
  <c r="H64" i="1"/>
  <c r="J64" i="1" s="1"/>
  <c r="A64" i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44" i="1"/>
  <c r="J44" i="1" s="1"/>
  <c r="H43" i="1"/>
  <c r="J43" i="1" s="1"/>
  <c r="J42" i="1"/>
  <c r="J41" i="1"/>
  <c r="J40" i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H31" i="1"/>
  <c r="J31" i="1" s="1"/>
  <c r="H19" i="1"/>
  <c r="L18" i="1"/>
  <c r="J18" i="1"/>
  <c r="L17" i="1"/>
  <c r="J17" i="1"/>
  <c r="L16" i="1"/>
  <c r="J16" i="1"/>
  <c r="L15" i="1"/>
  <c r="H15" i="1"/>
  <c r="J15" i="1" s="1"/>
  <c r="L14" i="1"/>
  <c r="H14" i="1"/>
  <c r="J14" i="1" s="1"/>
  <c r="L13" i="1"/>
  <c r="H13" i="1"/>
  <c r="J13" i="1" s="1"/>
  <c r="L12" i="1"/>
  <c r="H12" i="1"/>
  <c r="J12" i="1" s="1"/>
  <c r="L11" i="1"/>
  <c r="H11" i="1"/>
  <c r="J11" i="1" s="1"/>
  <c r="L10" i="1"/>
  <c r="H10" i="1"/>
  <c r="J10" i="1" s="1"/>
  <c r="L9" i="1"/>
  <c r="H9" i="1"/>
  <c r="L8" i="1"/>
  <c r="H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L7" i="1"/>
  <c r="H7" i="1"/>
  <c r="J19" i="1" l="1"/>
  <c r="J9" i="1"/>
  <c r="J65" i="1"/>
  <c r="J67" i="1" s="1"/>
  <c r="J70" i="1" s="1"/>
  <c r="J72" i="1" s="1"/>
  <c r="J7" i="1"/>
  <c r="J46" i="1"/>
  <c r="J48" i="1" s="1"/>
  <c r="J8" i="1"/>
  <c r="J21" i="1" l="1"/>
  <c r="J23" i="1" s="1"/>
</calcChain>
</file>

<file path=xl/sharedStrings.xml><?xml version="1.0" encoding="utf-8"?>
<sst xmlns="http://schemas.openxmlformats.org/spreadsheetml/2006/main" count="121" uniqueCount="40">
  <si>
    <t>Descripcion Producto:</t>
  </si>
  <si>
    <t>Tipo de Producto</t>
  </si>
  <si>
    <t>Cantidad</t>
  </si>
  <si>
    <t>Torta Brownie Keto</t>
  </si>
  <si>
    <t>Item</t>
  </si>
  <si>
    <t>Descripcion</t>
  </si>
  <si>
    <t>Unidad de Medida</t>
  </si>
  <si>
    <t>Costo total</t>
  </si>
  <si>
    <t>Cantidad total</t>
  </si>
  <si>
    <t>Total (Unidad, gramo o ml) $</t>
  </si>
  <si>
    <t xml:space="preserve">Cantidad </t>
  </si>
  <si>
    <t>Costo Final</t>
  </si>
  <si>
    <t>Huevos</t>
  </si>
  <si>
    <t xml:space="preserve">unidad  </t>
  </si>
  <si>
    <t>Monkfruit</t>
  </si>
  <si>
    <t>Gramos</t>
  </si>
  <si>
    <t>Chocolate en Barra</t>
  </si>
  <si>
    <t>Harina de Amendra</t>
  </si>
  <si>
    <t>Chispas de chocolates</t>
  </si>
  <si>
    <t>Vainilla</t>
  </si>
  <si>
    <t>ml</t>
  </si>
  <si>
    <t>Cacao</t>
  </si>
  <si>
    <t>Polvo de Hornear</t>
  </si>
  <si>
    <t>Aceite de Coco</t>
  </si>
  <si>
    <t>Caja de Torta</t>
  </si>
  <si>
    <t>unidad</t>
  </si>
  <si>
    <t>Base Dorada</t>
  </si>
  <si>
    <t>Sticker</t>
  </si>
  <si>
    <t>Topper</t>
  </si>
  <si>
    <t>Total Materiales</t>
  </si>
  <si>
    <t xml:space="preserve">Total Precio Venta </t>
  </si>
  <si>
    <t xml:space="preserve"> Ganancia </t>
  </si>
  <si>
    <t>Torta TORRE Brownie Keto</t>
  </si>
  <si>
    <t>Chocolate Derretido</t>
  </si>
  <si>
    <t>Brownie Keto Individual</t>
  </si>
  <si>
    <t>Empaque</t>
  </si>
  <si>
    <r>
      <t xml:space="preserve">Total Precio Venta por unidad </t>
    </r>
    <r>
      <rPr>
        <b/>
        <sz val="11"/>
        <color theme="1"/>
        <rFont val="Aptos Narrow"/>
        <family val="2"/>
        <scheme val="minor"/>
      </rPr>
      <t>LOCALES COMERCIALES</t>
    </r>
  </si>
  <si>
    <t xml:space="preserve"> Ganancia por Unidad</t>
  </si>
  <si>
    <t>Costo por unidad</t>
  </si>
  <si>
    <t>Total Costo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</si>
</sst>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0.00000"/>
    <numFmt numFmtId="167" formatCode="#,##0.00_ ;\-#,##0.00\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4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164" fontId="0" fillId="0" borderId="0" xfId="1" applyFont="1"/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65" fontId="7" fillId="0" borderId="5" xfId="2" applyFont="1" applyBorder="1" applyAlignment="1">
      <alignment horizontal="left"/>
    </xf>
    <xf numFmtId="2" fontId="7" fillId="0" borderId="5" xfId="0" applyNumberFormat="1" applyFont="1" applyBorder="1" applyAlignment="1">
      <alignment horizontal="right" vertical="center"/>
    </xf>
    <xf numFmtId="165" fontId="7" fillId="0" borderId="5" xfId="2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5" fontId="0" fillId="0" borderId="0" xfId="2" applyFont="1"/>
    <xf numFmtId="164" fontId="0" fillId="0" borderId="0" xfId="1" applyFont="1" applyAlignment="1">
      <alignment horizontal="center"/>
    </xf>
    <xf numFmtId="0" fontId="0" fillId="0" borderId="0" xfId="0" applyAlignment="1">
      <alignment horizontal="left" vertical="center"/>
    </xf>
    <xf numFmtId="165" fontId="8" fillId="0" borderId="0" xfId="2" applyFont="1"/>
    <xf numFmtId="0" fontId="0" fillId="0" borderId="0" xfId="0" applyAlignment="1">
      <alignment horizontal="center"/>
    </xf>
    <xf numFmtId="165" fontId="8" fillId="2" borderId="0" xfId="0" applyNumberFormat="1" applyFont="1" applyFill="1"/>
    <xf numFmtId="165" fontId="8" fillId="0" borderId="0" xfId="0" applyNumberFormat="1" applyFont="1"/>
    <xf numFmtId="0" fontId="6" fillId="0" borderId="5" xfId="0" applyFont="1" applyBorder="1" applyAlignment="1">
      <alignment horizontal="center" vertical="center" wrapText="1"/>
    </xf>
    <xf numFmtId="165" fontId="0" fillId="0" borderId="0" xfId="0" applyNumberFormat="1"/>
    <xf numFmtId="165" fontId="9" fillId="0" borderId="0" xfId="2" applyFont="1"/>
    <xf numFmtId="0" fontId="0" fillId="0" borderId="0" xfId="0" applyAlignment="1">
      <alignment vertical="center" wrapText="1"/>
    </xf>
    <xf numFmtId="0" fontId="7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9271-E79A-466C-B22A-F0B1EEF64DB5}">
  <dimension ref="A1:M72"/>
  <sheetViews>
    <sheetView tabSelected="1" topLeftCell="B1" zoomScale="90" zoomScaleNormal="90" workbookViewId="0">
      <selection activeCell="I71" sqref="I71"/>
    </sheetView>
  </sheetViews>
  <sheetFormatPr defaultRowHeight="15" x14ac:dyDescent="0.25"/>
  <cols>
    <col min="1" max="1" width="10.7109375" customWidth="1"/>
    <col min="5" max="5" width="15.28515625" bestFit="1" customWidth="1"/>
    <col min="6" max="6" width="14.85546875" customWidth="1"/>
    <col min="7" max="7" width="14.85546875" style="20" bestFit="1" customWidth="1"/>
    <col min="8" max="8" width="23.42578125" bestFit="1" customWidth="1"/>
    <col min="9" max="9" width="21.42578125" customWidth="1"/>
    <col min="10" max="10" width="11.7109375" bestFit="1" customWidth="1"/>
    <col min="12" max="12" width="0" hidden="1" customWidth="1"/>
  </cols>
  <sheetData>
    <row r="1" spans="1:13" ht="18" thickBot="1" x14ac:dyDescent="0.3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3"/>
      <c r="K1" s="1"/>
    </row>
    <row r="2" spans="1:13" ht="17.25" x14ac:dyDescent="0.3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</row>
    <row r="3" spans="1:13" ht="18.75" x14ac:dyDescent="0.3">
      <c r="A3" s="28" t="s">
        <v>3</v>
      </c>
      <c r="B3" s="28"/>
      <c r="C3" s="28"/>
      <c r="D3" s="28"/>
      <c r="E3" s="28"/>
      <c r="F3" s="28"/>
      <c r="G3" s="28"/>
      <c r="H3" s="29">
        <v>1</v>
      </c>
      <c r="I3" s="29"/>
      <c r="J3" s="29"/>
    </row>
    <row r="6" spans="1:13" x14ac:dyDescent="0.25">
      <c r="A6" s="3" t="s">
        <v>4</v>
      </c>
      <c r="B6" s="35" t="s">
        <v>5</v>
      </c>
      <c r="C6" s="35"/>
      <c r="D6" s="35"/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</row>
    <row r="7" spans="1:13" x14ac:dyDescent="0.25">
      <c r="A7" s="4">
        <v>1</v>
      </c>
      <c r="B7" s="27" t="s">
        <v>12</v>
      </c>
      <c r="C7" s="27"/>
      <c r="D7" s="27"/>
      <c r="E7" s="4" t="s">
        <v>13</v>
      </c>
      <c r="F7" s="5">
        <v>9</v>
      </c>
      <c r="G7" s="6">
        <v>30</v>
      </c>
      <c r="H7" s="7">
        <f>+F7/G7</f>
        <v>0.3</v>
      </c>
      <c r="I7" s="8">
        <v>4</v>
      </c>
      <c r="J7" s="7">
        <f>+I7*H7</f>
        <v>1.2</v>
      </c>
      <c r="L7" s="2">
        <f>+G7/I7</f>
        <v>7.5</v>
      </c>
      <c r="M7" s="9">
        <f>+F7-F31</f>
        <v>0</v>
      </c>
    </row>
    <row r="8" spans="1:13" x14ac:dyDescent="0.25">
      <c r="A8" s="4">
        <f>+A7+1</f>
        <v>2</v>
      </c>
      <c r="B8" s="27" t="s">
        <v>14</v>
      </c>
      <c r="C8" s="27"/>
      <c r="D8" s="27"/>
      <c r="E8" s="4" t="s">
        <v>15</v>
      </c>
      <c r="F8" s="5">
        <v>30</v>
      </c>
      <c r="G8" s="6">
        <v>908</v>
      </c>
      <c r="H8" s="7">
        <f t="shared" ref="H8:H19" si="0">+F8/G8</f>
        <v>3.3039647577092511E-2</v>
      </c>
      <c r="I8" s="8">
        <v>50</v>
      </c>
      <c r="J8" s="7">
        <f t="shared" ref="J8:J19" si="1">+I8*H8</f>
        <v>1.6519823788546255</v>
      </c>
      <c r="L8" s="2">
        <f t="shared" ref="L8:L18" si="2">+G8/I8</f>
        <v>18.16</v>
      </c>
      <c r="M8" s="9">
        <f t="shared" ref="M8:M19" si="3">+F8-F32</f>
        <v>0</v>
      </c>
    </row>
    <row r="9" spans="1:13" x14ac:dyDescent="0.25">
      <c r="A9" s="4">
        <f t="shared" ref="A9:A19" si="4">+A8+1</f>
        <v>3</v>
      </c>
      <c r="B9" s="27" t="s">
        <v>16</v>
      </c>
      <c r="C9" s="27"/>
      <c r="D9" s="27"/>
      <c r="E9" s="4" t="s">
        <v>15</v>
      </c>
      <c r="F9" s="5">
        <v>18</v>
      </c>
      <c r="G9" s="6">
        <v>500</v>
      </c>
      <c r="H9" s="7">
        <f t="shared" si="0"/>
        <v>3.5999999999999997E-2</v>
      </c>
      <c r="I9" s="8">
        <v>120</v>
      </c>
      <c r="J9" s="7">
        <f t="shared" si="1"/>
        <v>4.3199999999999994</v>
      </c>
      <c r="L9" s="2">
        <f t="shared" si="2"/>
        <v>4.166666666666667</v>
      </c>
      <c r="M9" s="9">
        <f t="shared" si="3"/>
        <v>0</v>
      </c>
    </row>
    <row r="10" spans="1:13" x14ac:dyDescent="0.25">
      <c r="A10" s="4">
        <f t="shared" si="4"/>
        <v>4</v>
      </c>
      <c r="B10" s="27" t="s">
        <v>17</v>
      </c>
      <c r="C10" s="27"/>
      <c r="D10" s="27"/>
      <c r="E10" s="4" t="s">
        <v>15</v>
      </c>
      <c r="F10" s="5">
        <v>40</v>
      </c>
      <c r="G10" s="6">
        <v>1360</v>
      </c>
      <c r="H10" s="7">
        <f t="shared" si="0"/>
        <v>2.9411764705882353E-2</v>
      </c>
      <c r="I10" s="8">
        <v>120</v>
      </c>
      <c r="J10" s="7">
        <f t="shared" si="1"/>
        <v>3.5294117647058822</v>
      </c>
      <c r="L10" s="2">
        <f t="shared" si="2"/>
        <v>11.333333333333334</v>
      </c>
      <c r="M10" s="9">
        <f t="shared" si="3"/>
        <v>0</v>
      </c>
    </row>
    <row r="11" spans="1:13" x14ac:dyDescent="0.25">
      <c r="A11" s="4">
        <f t="shared" si="4"/>
        <v>5</v>
      </c>
      <c r="B11" s="27" t="s">
        <v>18</v>
      </c>
      <c r="C11" s="27"/>
      <c r="D11" s="27"/>
      <c r="E11" s="4" t="s">
        <v>15</v>
      </c>
      <c r="F11" s="5">
        <v>42</v>
      </c>
      <c r="G11" s="6">
        <v>1000</v>
      </c>
      <c r="H11" s="7">
        <f t="shared" si="0"/>
        <v>4.2000000000000003E-2</v>
      </c>
      <c r="I11" s="8">
        <v>40</v>
      </c>
      <c r="J11" s="7">
        <f t="shared" si="1"/>
        <v>1.6800000000000002</v>
      </c>
      <c r="L11" s="2">
        <f t="shared" si="2"/>
        <v>25</v>
      </c>
      <c r="M11" s="9">
        <f t="shared" si="3"/>
        <v>0</v>
      </c>
    </row>
    <row r="12" spans="1:13" x14ac:dyDescent="0.25">
      <c r="A12" s="4">
        <f t="shared" si="4"/>
        <v>6</v>
      </c>
      <c r="B12" s="27" t="s">
        <v>19</v>
      </c>
      <c r="C12" s="27"/>
      <c r="D12" s="27"/>
      <c r="E12" s="4" t="s">
        <v>20</v>
      </c>
      <c r="F12" s="5">
        <v>8</v>
      </c>
      <c r="G12" s="6">
        <v>1000</v>
      </c>
      <c r="H12" s="7">
        <f t="shared" si="0"/>
        <v>8.0000000000000002E-3</v>
      </c>
      <c r="I12" s="8">
        <v>15</v>
      </c>
      <c r="J12" s="7">
        <f t="shared" si="1"/>
        <v>0.12</v>
      </c>
      <c r="L12" s="2">
        <f t="shared" si="2"/>
        <v>66.666666666666671</v>
      </c>
      <c r="M12" s="9">
        <f t="shared" si="3"/>
        <v>0</v>
      </c>
    </row>
    <row r="13" spans="1:13" x14ac:dyDescent="0.25">
      <c r="A13" s="4">
        <f t="shared" si="4"/>
        <v>7</v>
      </c>
      <c r="B13" s="27" t="s">
        <v>21</v>
      </c>
      <c r="C13" s="27"/>
      <c r="D13" s="27"/>
      <c r="E13" s="4" t="s">
        <v>15</v>
      </c>
      <c r="F13" s="5">
        <v>23</v>
      </c>
      <c r="G13" s="6">
        <v>1000</v>
      </c>
      <c r="H13" s="7">
        <f t="shared" si="0"/>
        <v>2.3E-2</v>
      </c>
      <c r="I13" s="8">
        <v>5</v>
      </c>
      <c r="J13" s="7">
        <f t="shared" si="1"/>
        <v>0.11499999999999999</v>
      </c>
      <c r="L13" s="2">
        <f t="shared" si="2"/>
        <v>200</v>
      </c>
      <c r="M13" s="9">
        <f t="shared" si="3"/>
        <v>0</v>
      </c>
    </row>
    <row r="14" spans="1:13" x14ac:dyDescent="0.25">
      <c r="A14" s="4">
        <f t="shared" si="4"/>
        <v>8</v>
      </c>
      <c r="B14" s="27" t="s">
        <v>22</v>
      </c>
      <c r="C14" s="27"/>
      <c r="D14" s="27"/>
      <c r="E14" s="4" t="s">
        <v>15</v>
      </c>
      <c r="F14" s="5">
        <v>5</v>
      </c>
      <c r="G14" s="6">
        <v>50</v>
      </c>
      <c r="H14" s="7">
        <f t="shared" si="0"/>
        <v>0.1</v>
      </c>
      <c r="I14" s="8">
        <v>9</v>
      </c>
      <c r="J14" s="7">
        <f t="shared" si="1"/>
        <v>0.9</v>
      </c>
      <c r="L14" s="2">
        <f t="shared" si="2"/>
        <v>5.5555555555555554</v>
      </c>
      <c r="M14" s="9">
        <f t="shared" si="3"/>
        <v>0</v>
      </c>
    </row>
    <row r="15" spans="1:13" x14ac:dyDescent="0.25">
      <c r="A15" s="4">
        <f t="shared" si="4"/>
        <v>9</v>
      </c>
      <c r="B15" s="27" t="s">
        <v>23</v>
      </c>
      <c r="C15" s="27"/>
      <c r="D15" s="27"/>
      <c r="E15" s="4" t="s">
        <v>20</v>
      </c>
      <c r="F15" s="5">
        <v>19</v>
      </c>
      <c r="G15" s="6">
        <v>1660</v>
      </c>
      <c r="H15" s="7">
        <f t="shared" si="0"/>
        <v>1.144578313253012E-2</v>
      </c>
      <c r="I15" s="8">
        <v>3</v>
      </c>
      <c r="J15" s="7">
        <f t="shared" si="1"/>
        <v>3.433734939759036E-2</v>
      </c>
      <c r="L15" s="2">
        <f t="shared" si="2"/>
        <v>553.33333333333337</v>
      </c>
      <c r="M15" s="9">
        <f t="shared" si="3"/>
        <v>0</v>
      </c>
    </row>
    <row r="16" spans="1:13" x14ac:dyDescent="0.25">
      <c r="A16" s="4">
        <f t="shared" si="4"/>
        <v>10</v>
      </c>
      <c r="B16" s="27" t="s">
        <v>24</v>
      </c>
      <c r="C16" s="27"/>
      <c r="D16" s="27"/>
      <c r="E16" s="4" t="s">
        <v>25</v>
      </c>
      <c r="F16" s="5">
        <v>10</v>
      </c>
      <c r="G16" s="6">
        <v>10</v>
      </c>
      <c r="H16" s="7">
        <v>2</v>
      </c>
      <c r="I16" s="8">
        <v>1</v>
      </c>
      <c r="J16" s="7">
        <f t="shared" si="1"/>
        <v>2</v>
      </c>
      <c r="L16" s="2">
        <f>+G16/I16</f>
        <v>10</v>
      </c>
      <c r="M16" s="9">
        <f t="shared" si="3"/>
        <v>0</v>
      </c>
    </row>
    <row r="17" spans="1:13" x14ac:dyDescent="0.25">
      <c r="A17" s="4">
        <f t="shared" si="4"/>
        <v>11</v>
      </c>
      <c r="B17" s="27" t="s">
        <v>26</v>
      </c>
      <c r="C17" s="27"/>
      <c r="D17" s="27"/>
      <c r="E17" s="4" t="s">
        <v>25</v>
      </c>
      <c r="F17" s="5">
        <v>8</v>
      </c>
      <c r="G17" s="6">
        <v>10</v>
      </c>
      <c r="H17" s="7">
        <v>1.5</v>
      </c>
      <c r="I17" s="8">
        <v>1</v>
      </c>
      <c r="J17" s="7">
        <f t="shared" si="1"/>
        <v>1.5</v>
      </c>
      <c r="L17" s="2">
        <f t="shared" si="2"/>
        <v>10</v>
      </c>
      <c r="M17" s="9">
        <f t="shared" si="3"/>
        <v>0</v>
      </c>
    </row>
    <row r="18" spans="1:13" x14ac:dyDescent="0.25">
      <c r="A18" s="4">
        <f t="shared" si="4"/>
        <v>12</v>
      </c>
      <c r="B18" s="27" t="s">
        <v>27</v>
      </c>
      <c r="C18" s="27"/>
      <c r="D18" s="27"/>
      <c r="E18" s="4" t="s">
        <v>25</v>
      </c>
      <c r="F18" s="5">
        <v>12</v>
      </c>
      <c r="G18" s="6">
        <v>500</v>
      </c>
      <c r="H18" s="7">
        <v>0.1</v>
      </c>
      <c r="I18" s="8">
        <v>1</v>
      </c>
      <c r="J18" s="7">
        <f t="shared" si="1"/>
        <v>0.1</v>
      </c>
      <c r="L18" s="2">
        <f t="shared" si="2"/>
        <v>500</v>
      </c>
      <c r="M18" s="9">
        <f t="shared" si="3"/>
        <v>0</v>
      </c>
    </row>
    <row r="19" spans="1:13" x14ac:dyDescent="0.25">
      <c r="A19" s="4">
        <f t="shared" si="4"/>
        <v>13</v>
      </c>
      <c r="B19" s="27" t="s">
        <v>28</v>
      </c>
      <c r="C19" s="27"/>
      <c r="D19" s="27"/>
      <c r="E19" s="4" t="s">
        <v>25</v>
      </c>
      <c r="F19" s="5">
        <v>1</v>
      </c>
      <c r="G19" s="6">
        <v>1</v>
      </c>
      <c r="H19" s="7">
        <f t="shared" si="0"/>
        <v>1</v>
      </c>
      <c r="I19" s="8">
        <v>1</v>
      </c>
      <c r="J19" s="7">
        <f t="shared" si="1"/>
        <v>1</v>
      </c>
      <c r="L19" s="2"/>
      <c r="M19" s="9">
        <f t="shared" si="3"/>
        <v>0</v>
      </c>
    </row>
    <row r="20" spans="1:13" x14ac:dyDescent="0.25">
      <c r="A20" s="10"/>
      <c r="B20" s="11"/>
      <c r="C20" s="11"/>
      <c r="D20" s="11"/>
      <c r="E20" s="10"/>
      <c r="F20" s="12"/>
      <c r="G20" s="13"/>
      <c r="H20" s="14"/>
      <c r="I20" s="15"/>
      <c r="J20" s="15"/>
    </row>
    <row r="21" spans="1:13" ht="18.75" x14ac:dyDescent="0.3">
      <c r="F21" s="16"/>
      <c r="G21" s="17"/>
      <c r="I21" s="18" t="s">
        <v>29</v>
      </c>
      <c r="J21" s="19">
        <f>SUM(J7:J20)</f>
        <v>18.150731492958098</v>
      </c>
    </row>
    <row r="22" spans="1:13" x14ac:dyDescent="0.25">
      <c r="I22" s="18" t="s">
        <v>30</v>
      </c>
      <c r="J22" s="16">
        <v>30</v>
      </c>
    </row>
    <row r="23" spans="1:13" ht="18.75" x14ac:dyDescent="0.3">
      <c r="I23" s="18" t="s">
        <v>31</v>
      </c>
      <c r="J23" s="21">
        <f>+J22-J21</f>
        <v>11.849268507041902</v>
      </c>
    </row>
    <row r="24" spans="1:13" ht="19.5" thickBot="1" x14ac:dyDescent="0.35">
      <c r="I24" s="18"/>
      <c r="J24" s="22"/>
    </row>
    <row r="25" spans="1:13" ht="18" thickBot="1" x14ac:dyDescent="0.35">
      <c r="A25" s="31" t="s">
        <v>0</v>
      </c>
      <c r="B25" s="32"/>
      <c r="C25" s="32"/>
      <c r="D25" s="32"/>
      <c r="E25" s="32"/>
      <c r="F25" s="32"/>
      <c r="G25" s="32"/>
      <c r="H25" s="32"/>
      <c r="I25" s="32"/>
      <c r="J25" s="33"/>
    </row>
    <row r="26" spans="1:13" ht="17.25" x14ac:dyDescent="0.3">
      <c r="A26" s="34" t="s">
        <v>1</v>
      </c>
      <c r="B26" s="34"/>
      <c r="C26" s="34"/>
      <c r="D26" s="34"/>
      <c r="E26" s="34"/>
      <c r="F26" s="34"/>
      <c r="G26" s="34"/>
      <c r="H26" s="34" t="s">
        <v>2</v>
      </c>
      <c r="I26" s="34"/>
      <c r="J26" s="34"/>
    </row>
    <row r="27" spans="1:13" ht="18.75" x14ac:dyDescent="0.3">
      <c r="A27" s="28" t="s">
        <v>32</v>
      </c>
      <c r="B27" s="28"/>
      <c r="C27" s="28"/>
      <c r="D27" s="28"/>
      <c r="E27" s="28"/>
      <c r="F27" s="28"/>
      <c r="G27" s="28"/>
      <c r="H27" s="29">
        <v>1</v>
      </c>
      <c r="I27" s="29"/>
      <c r="J27" s="29"/>
    </row>
    <row r="30" spans="1:13" x14ac:dyDescent="0.25">
      <c r="A30" s="3" t="s">
        <v>4</v>
      </c>
      <c r="B30" s="35" t="s">
        <v>5</v>
      </c>
      <c r="C30" s="35"/>
      <c r="D30" s="35"/>
      <c r="E30" s="3" t="s">
        <v>6</v>
      </c>
      <c r="F30" s="3" t="s">
        <v>7</v>
      </c>
      <c r="G30" s="3" t="s">
        <v>8</v>
      </c>
      <c r="H30" s="3" t="s">
        <v>9</v>
      </c>
      <c r="I30" s="3" t="s">
        <v>10</v>
      </c>
      <c r="J30" s="3" t="s">
        <v>11</v>
      </c>
    </row>
    <row r="31" spans="1:13" x14ac:dyDescent="0.25">
      <c r="A31" s="4">
        <v>1</v>
      </c>
      <c r="B31" s="27" t="s">
        <v>12</v>
      </c>
      <c r="C31" s="27"/>
      <c r="D31" s="27"/>
      <c r="E31" s="4" t="s">
        <v>13</v>
      </c>
      <c r="F31" s="5">
        <v>9</v>
      </c>
      <c r="G31" s="6">
        <v>30</v>
      </c>
      <c r="H31" s="7">
        <f>+F31/G31</f>
        <v>0.3</v>
      </c>
      <c r="I31" s="8">
        <v>4</v>
      </c>
      <c r="J31" s="7">
        <f>+I31*H31</f>
        <v>1.2</v>
      </c>
    </row>
    <row r="32" spans="1:13" x14ac:dyDescent="0.25">
      <c r="A32" s="4">
        <f>+A31+1</f>
        <v>2</v>
      </c>
      <c r="B32" s="27" t="s">
        <v>14</v>
      </c>
      <c r="C32" s="27"/>
      <c r="D32" s="27"/>
      <c r="E32" s="4" t="s">
        <v>15</v>
      </c>
      <c r="F32" s="5">
        <v>30</v>
      </c>
      <c r="G32" s="6">
        <v>908</v>
      </c>
      <c r="H32" s="7">
        <f t="shared" ref="H32:H44" si="5">+F32/G32</f>
        <v>3.3039647577092511E-2</v>
      </c>
      <c r="I32" s="8">
        <v>50</v>
      </c>
      <c r="J32" s="7">
        <f t="shared" ref="J32:J44" si="6">+I32*H32</f>
        <v>1.6519823788546255</v>
      </c>
    </row>
    <row r="33" spans="1:10" x14ac:dyDescent="0.25">
      <c r="A33" s="4">
        <f t="shared" ref="A33:A44" si="7">+A32+1</f>
        <v>3</v>
      </c>
      <c r="B33" s="27" t="s">
        <v>16</v>
      </c>
      <c r="C33" s="27"/>
      <c r="D33" s="27"/>
      <c r="E33" s="4" t="s">
        <v>15</v>
      </c>
      <c r="F33" s="5">
        <v>18</v>
      </c>
      <c r="G33" s="6">
        <v>500</v>
      </c>
      <c r="H33" s="7">
        <f t="shared" si="5"/>
        <v>3.5999999999999997E-2</v>
      </c>
      <c r="I33" s="8">
        <v>120</v>
      </c>
      <c r="J33" s="7">
        <f t="shared" si="6"/>
        <v>4.3199999999999994</v>
      </c>
    </row>
    <row r="34" spans="1:10" x14ac:dyDescent="0.25">
      <c r="A34" s="4">
        <f t="shared" si="7"/>
        <v>4</v>
      </c>
      <c r="B34" s="27" t="s">
        <v>17</v>
      </c>
      <c r="C34" s="27"/>
      <c r="D34" s="27"/>
      <c r="E34" s="4" t="s">
        <v>15</v>
      </c>
      <c r="F34" s="5">
        <v>40</v>
      </c>
      <c r="G34" s="6">
        <v>1360</v>
      </c>
      <c r="H34" s="7">
        <f t="shared" si="5"/>
        <v>2.9411764705882353E-2</v>
      </c>
      <c r="I34" s="8">
        <v>120</v>
      </c>
      <c r="J34" s="7">
        <f t="shared" si="6"/>
        <v>3.5294117647058822</v>
      </c>
    </row>
    <row r="35" spans="1:10" x14ac:dyDescent="0.25">
      <c r="A35" s="4">
        <f t="shared" si="7"/>
        <v>5</v>
      </c>
      <c r="B35" s="27" t="s">
        <v>18</v>
      </c>
      <c r="C35" s="27"/>
      <c r="D35" s="27"/>
      <c r="E35" s="4" t="s">
        <v>15</v>
      </c>
      <c r="F35" s="5">
        <v>42</v>
      </c>
      <c r="G35" s="6">
        <v>1000</v>
      </c>
      <c r="H35" s="7">
        <f t="shared" si="5"/>
        <v>4.2000000000000003E-2</v>
      </c>
      <c r="I35" s="8">
        <v>40</v>
      </c>
      <c r="J35" s="7">
        <f t="shared" si="6"/>
        <v>1.6800000000000002</v>
      </c>
    </row>
    <row r="36" spans="1:10" x14ac:dyDescent="0.25">
      <c r="A36" s="4">
        <f t="shared" si="7"/>
        <v>6</v>
      </c>
      <c r="B36" s="27" t="s">
        <v>19</v>
      </c>
      <c r="C36" s="27"/>
      <c r="D36" s="27"/>
      <c r="E36" s="4" t="s">
        <v>20</v>
      </c>
      <c r="F36" s="5">
        <v>8</v>
      </c>
      <c r="G36" s="6">
        <v>1000</v>
      </c>
      <c r="H36" s="7">
        <f t="shared" si="5"/>
        <v>8.0000000000000002E-3</v>
      </c>
      <c r="I36" s="8">
        <v>15</v>
      </c>
      <c r="J36" s="7">
        <f t="shared" si="6"/>
        <v>0.12</v>
      </c>
    </row>
    <row r="37" spans="1:10" x14ac:dyDescent="0.25">
      <c r="A37" s="4">
        <f t="shared" si="7"/>
        <v>7</v>
      </c>
      <c r="B37" s="27" t="s">
        <v>21</v>
      </c>
      <c r="C37" s="27"/>
      <c r="D37" s="27"/>
      <c r="E37" s="4" t="s">
        <v>15</v>
      </c>
      <c r="F37" s="5">
        <v>23</v>
      </c>
      <c r="G37" s="6">
        <v>1000</v>
      </c>
      <c r="H37" s="7">
        <f t="shared" si="5"/>
        <v>2.3E-2</v>
      </c>
      <c r="I37" s="8">
        <v>5</v>
      </c>
      <c r="J37" s="7">
        <f t="shared" si="6"/>
        <v>0.11499999999999999</v>
      </c>
    </row>
    <row r="38" spans="1:10" x14ac:dyDescent="0.25">
      <c r="A38" s="4">
        <f t="shared" si="7"/>
        <v>8</v>
      </c>
      <c r="B38" s="27" t="s">
        <v>22</v>
      </c>
      <c r="C38" s="27"/>
      <c r="D38" s="27"/>
      <c r="E38" s="4" t="s">
        <v>15</v>
      </c>
      <c r="F38" s="5">
        <v>5</v>
      </c>
      <c r="G38" s="6">
        <v>50</v>
      </c>
      <c r="H38" s="7">
        <f t="shared" si="5"/>
        <v>0.1</v>
      </c>
      <c r="I38" s="8">
        <v>9</v>
      </c>
      <c r="J38" s="7">
        <f t="shared" si="6"/>
        <v>0.9</v>
      </c>
    </row>
    <row r="39" spans="1:10" x14ac:dyDescent="0.25">
      <c r="A39" s="4">
        <f t="shared" si="7"/>
        <v>9</v>
      </c>
      <c r="B39" s="27" t="s">
        <v>23</v>
      </c>
      <c r="C39" s="27"/>
      <c r="D39" s="27"/>
      <c r="E39" s="4" t="s">
        <v>20</v>
      </c>
      <c r="F39" s="5">
        <v>19</v>
      </c>
      <c r="G39" s="6">
        <v>1660</v>
      </c>
      <c r="H39" s="7">
        <f t="shared" si="5"/>
        <v>1.144578313253012E-2</v>
      </c>
      <c r="I39" s="8">
        <v>3</v>
      </c>
      <c r="J39" s="7">
        <f t="shared" si="6"/>
        <v>3.433734939759036E-2</v>
      </c>
    </row>
    <row r="40" spans="1:10" x14ac:dyDescent="0.25">
      <c r="A40" s="4">
        <f t="shared" si="7"/>
        <v>10</v>
      </c>
      <c r="B40" s="27" t="s">
        <v>24</v>
      </c>
      <c r="C40" s="27"/>
      <c r="D40" s="27"/>
      <c r="E40" s="4" t="s">
        <v>25</v>
      </c>
      <c r="F40" s="5">
        <v>10</v>
      </c>
      <c r="G40" s="6">
        <v>10</v>
      </c>
      <c r="H40" s="7">
        <v>1.5</v>
      </c>
      <c r="I40" s="8">
        <v>1</v>
      </c>
      <c r="J40" s="7">
        <f t="shared" si="6"/>
        <v>1.5</v>
      </c>
    </row>
    <row r="41" spans="1:10" x14ac:dyDescent="0.25">
      <c r="A41" s="4">
        <f t="shared" si="7"/>
        <v>11</v>
      </c>
      <c r="B41" s="27" t="s">
        <v>26</v>
      </c>
      <c r="C41" s="27"/>
      <c r="D41" s="27"/>
      <c r="E41" s="4" t="s">
        <v>25</v>
      </c>
      <c r="F41" s="5">
        <v>8</v>
      </c>
      <c r="G41" s="6">
        <v>10</v>
      </c>
      <c r="H41" s="7">
        <v>1.5</v>
      </c>
      <c r="I41" s="8">
        <v>1</v>
      </c>
      <c r="J41" s="7">
        <f t="shared" si="6"/>
        <v>1.5</v>
      </c>
    </row>
    <row r="42" spans="1:10" x14ac:dyDescent="0.25">
      <c r="A42" s="4">
        <f t="shared" si="7"/>
        <v>12</v>
      </c>
      <c r="B42" s="27" t="s">
        <v>27</v>
      </c>
      <c r="C42" s="27"/>
      <c r="D42" s="27"/>
      <c r="E42" s="4" t="s">
        <v>25</v>
      </c>
      <c r="F42" s="5">
        <v>12</v>
      </c>
      <c r="G42" s="6">
        <v>500</v>
      </c>
      <c r="H42" s="7">
        <v>0.1</v>
      </c>
      <c r="I42" s="8">
        <v>1</v>
      </c>
      <c r="J42" s="7">
        <f t="shared" si="6"/>
        <v>0.1</v>
      </c>
    </row>
    <row r="43" spans="1:10" x14ac:dyDescent="0.25">
      <c r="A43" s="4">
        <f t="shared" si="7"/>
        <v>13</v>
      </c>
      <c r="B43" s="27" t="s">
        <v>28</v>
      </c>
      <c r="C43" s="27"/>
      <c r="D43" s="27"/>
      <c r="E43" s="4" t="s">
        <v>25</v>
      </c>
      <c r="F43" s="5">
        <v>1</v>
      </c>
      <c r="G43" s="6">
        <v>1</v>
      </c>
      <c r="H43" s="7">
        <f t="shared" si="5"/>
        <v>1</v>
      </c>
      <c r="I43" s="8">
        <v>1</v>
      </c>
      <c r="J43" s="7">
        <f t="shared" si="6"/>
        <v>1</v>
      </c>
    </row>
    <row r="44" spans="1:10" x14ac:dyDescent="0.25">
      <c r="A44" s="4">
        <f t="shared" si="7"/>
        <v>14</v>
      </c>
      <c r="B44" s="27" t="s">
        <v>33</v>
      </c>
      <c r="C44" s="27"/>
      <c r="D44" s="27"/>
      <c r="E44" s="4" t="s">
        <v>15</v>
      </c>
      <c r="F44" s="5">
        <v>18</v>
      </c>
      <c r="G44" s="6">
        <v>500</v>
      </c>
      <c r="H44" s="7">
        <f t="shared" si="5"/>
        <v>3.5999999999999997E-2</v>
      </c>
      <c r="I44" s="8">
        <v>70</v>
      </c>
      <c r="J44" s="7">
        <f t="shared" si="6"/>
        <v>2.52</v>
      </c>
    </row>
    <row r="45" spans="1:10" x14ac:dyDescent="0.25">
      <c r="A45" s="10"/>
      <c r="B45" s="11"/>
      <c r="C45" s="11"/>
      <c r="D45" s="11"/>
      <c r="E45" s="10"/>
      <c r="F45" s="12"/>
      <c r="G45" s="13"/>
      <c r="H45" s="14"/>
      <c r="I45" s="15"/>
      <c r="J45" s="15"/>
    </row>
    <row r="46" spans="1:10" ht="18.75" x14ac:dyDescent="0.3">
      <c r="F46" s="16"/>
      <c r="G46" s="17"/>
      <c r="I46" s="18" t="s">
        <v>29</v>
      </c>
      <c r="J46" s="19">
        <f>SUM(J31:J45)</f>
        <v>20.170731492958097</v>
      </c>
    </row>
    <row r="47" spans="1:10" x14ac:dyDescent="0.25">
      <c r="I47" s="18" t="s">
        <v>30</v>
      </c>
      <c r="J47" s="16">
        <v>35</v>
      </c>
    </row>
    <row r="48" spans="1:10" ht="18.75" x14ac:dyDescent="0.3">
      <c r="I48" s="18" t="s">
        <v>31</v>
      </c>
      <c r="J48" s="21">
        <f>+J47-J46</f>
        <v>14.829268507041903</v>
      </c>
    </row>
    <row r="49" spans="1:10" ht="19.5" thickBot="1" x14ac:dyDescent="0.35">
      <c r="I49" s="18"/>
      <c r="J49" s="22"/>
    </row>
    <row r="50" spans="1:10" ht="18" thickBot="1" x14ac:dyDescent="0.35">
      <c r="A50" s="31" t="s">
        <v>0</v>
      </c>
      <c r="B50" s="32"/>
      <c r="C50" s="32"/>
      <c r="D50" s="32"/>
      <c r="E50" s="32"/>
      <c r="F50" s="32"/>
      <c r="G50" s="32"/>
      <c r="H50" s="32"/>
      <c r="I50" s="32"/>
      <c r="J50" s="33"/>
    </row>
    <row r="51" spans="1:10" ht="17.25" x14ac:dyDescent="0.3">
      <c r="A51" s="34" t="s">
        <v>1</v>
      </c>
      <c r="B51" s="34"/>
      <c r="C51" s="34"/>
      <c r="D51" s="34"/>
      <c r="E51" s="34"/>
      <c r="F51" s="34"/>
      <c r="G51" s="34"/>
      <c r="H51" s="34" t="s">
        <v>2</v>
      </c>
      <c r="I51" s="34"/>
      <c r="J51" s="34"/>
    </row>
    <row r="52" spans="1:10" ht="18.75" x14ac:dyDescent="0.3">
      <c r="A52" s="28" t="s">
        <v>34</v>
      </c>
      <c r="B52" s="28"/>
      <c r="C52" s="28"/>
      <c r="D52" s="28"/>
      <c r="E52" s="28"/>
      <c r="F52" s="28"/>
      <c r="G52" s="28"/>
      <c r="H52" s="29">
        <v>1</v>
      </c>
      <c r="I52" s="29"/>
      <c r="J52" s="29"/>
    </row>
    <row r="55" spans="1:10" x14ac:dyDescent="0.25">
      <c r="A55" s="3" t="s">
        <v>4</v>
      </c>
      <c r="B55" s="30" t="s">
        <v>5</v>
      </c>
      <c r="C55" s="30"/>
      <c r="D55" s="30"/>
      <c r="E55" s="23" t="s">
        <v>6</v>
      </c>
      <c r="F55" s="23" t="s">
        <v>7</v>
      </c>
      <c r="G55" s="23" t="s">
        <v>8</v>
      </c>
      <c r="H55" s="23" t="s">
        <v>9</v>
      </c>
      <c r="I55" s="23" t="s">
        <v>10</v>
      </c>
      <c r="J55" s="23" t="s">
        <v>11</v>
      </c>
    </row>
    <row r="56" spans="1:10" x14ac:dyDescent="0.25">
      <c r="A56" s="4">
        <v>1</v>
      </c>
      <c r="B56" s="27" t="s">
        <v>12</v>
      </c>
      <c r="C56" s="27"/>
      <c r="D56" s="27"/>
      <c r="E56" s="4" t="s">
        <v>13</v>
      </c>
      <c r="F56" s="5">
        <v>9</v>
      </c>
      <c r="G56" s="6">
        <v>30</v>
      </c>
      <c r="H56" s="7">
        <f>+F56/G56</f>
        <v>0.3</v>
      </c>
      <c r="I56" s="8">
        <v>4</v>
      </c>
      <c r="J56" s="7">
        <f>+I56*H56</f>
        <v>1.2</v>
      </c>
    </row>
    <row r="57" spans="1:10" x14ac:dyDescent="0.25">
      <c r="A57" s="4">
        <v>2</v>
      </c>
      <c r="B57" s="27" t="s">
        <v>14</v>
      </c>
      <c r="C57" s="27"/>
      <c r="D57" s="27"/>
      <c r="E57" s="4" t="s">
        <v>15</v>
      </c>
      <c r="F57" s="5">
        <v>30</v>
      </c>
      <c r="G57" s="6">
        <v>908</v>
      </c>
      <c r="H57" s="7">
        <f t="shared" ref="H57:H64" si="8">+F57/G57</f>
        <v>3.3039647577092511E-2</v>
      </c>
      <c r="I57" s="8">
        <v>50</v>
      </c>
      <c r="J57" s="7">
        <f t="shared" ref="J57:J64" si="9">+I57*H57</f>
        <v>1.6519823788546255</v>
      </c>
    </row>
    <row r="58" spans="1:10" x14ac:dyDescent="0.25">
      <c r="A58" s="4">
        <v>3</v>
      </c>
      <c r="B58" s="27" t="s">
        <v>16</v>
      </c>
      <c r="C58" s="27"/>
      <c r="D58" s="27"/>
      <c r="E58" s="4" t="s">
        <v>15</v>
      </c>
      <c r="F58" s="5">
        <v>18</v>
      </c>
      <c r="G58" s="6">
        <v>500</v>
      </c>
      <c r="H58" s="7">
        <f t="shared" si="8"/>
        <v>3.5999999999999997E-2</v>
      </c>
      <c r="I58" s="8">
        <v>120</v>
      </c>
      <c r="J58" s="7">
        <f t="shared" si="9"/>
        <v>4.3199999999999994</v>
      </c>
    </row>
    <row r="59" spans="1:10" x14ac:dyDescent="0.25">
      <c r="A59" s="4">
        <v>4</v>
      </c>
      <c r="B59" s="27" t="s">
        <v>17</v>
      </c>
      <c r="C59" s="27"/>
      <c r="D59" s="27"/>
      <c r="E59" s="4" t="s">
        <v>15</v>
      </c>
      <c r="F59" s="5">
        <v>40</v>
      </c>
      <c r="G59" s="6">
        <v>1360</v>
      </c>
      <c r="H59" s="7">
        <f t="shared" si="8"/>
        <v>2.9411764705882353E-2</v>
      </c>
      <c r="I59" s="8">
        <v>120</v>
      </c>
      <c r="J59" s="7">
        <f t="shared" si="9"/>
        <v>3.5294117647058822</v>
      </c>
    </row>
    <row r="60" spans="1:10" x14ac:dyDescent="0.25">
      <c r="A60" s="4">
        <v>5</v>
      </c>
      <c r="B60" s="27" t="s">
        <v>18</v>
      </c>
      <c r="C60" s="27"/>
      <c r="D60" s="27"/>
      <c r="E60" s="4" t="s">
        <v>15</v>
      </c>
      <c r="F60" s="5">
        <v>42</v>
      </c>
      <c r="G60" s="6">
        <v>1000</v>
      </c>
      <c r="H60" s="7">
        <f t="shared" si="8"/>
        <v>4.2000000000000003E-2</v>
      </c>
      <c r="I60" s="8">
        <v>40</v>
      </c>
      <c r="J60" s="7">
        <f t="shared" si="9"/>
        <v>1.6800000000000002</v>
      </c>
    </row>
    <row r="61" spans="1:10" x14ac:dyDescent="0.25">
      <c r="A61" s="4">
        <v>6</v>
      </c>
      <c r="B61" s="27" t="s">
        <v>19</v>
      </c>
      <c r="C61" s="27"/>
      <c r="D61" s="27"/>
      <c r="E61" s="4" t="s">
        <v>20</v>
      </c>
      <c r="F61" s="5">
        <v>8</v>
      </c>
      <c r="G61" s="6">
        <v>1000</v>
      </c>
      <c r="H61" s="7">
        <f t="shared" si="8"/>
        <v>8.0000000000000002E-3</v>
      </c>
      <c r="I61" s="8">
        <v>15</v>
      </c>
      <c r="J61" s="7">
        <f t="shared" si="9"/>
        <v>0.12</v>
      </c>
    </row>
    <row r="62" spans="1:10" x14ac:dyDescent="0.25">
      <c r="A62" s="4">
        <v>7</v>
      </c>
      <c r="B62" s="27" t="s">
        <v>21</v>
      </c>
      <c r="C62" s="27"/>
      <c r="D62" s="27"/>
      <c r="E62" s="4" t="s">
        <v>15</v>
      </c>
      <c r="F62" s="5">
        <v>23</v>
      </c>
      <c r="G62" s="6">
        <v>1000</v>
      </c>
      <c r="H62" s="7">
        <f t="shared" si="8"/>
        <v>2.3E-2</v>
      </c>
      <c r="I62" s="8">
        <v>5</v>
      </c>
      <c r="J62" s="7">
        <f t="shared" si="9"/>
        <v>0.11499999999999999</v>
      </c>
    </row>
    <row r="63" spans="1:10" x14ac:dyDescent="0.25">
      <c r="A63" s="4">
        <v>8</v>
      </c>
      <c r="B63" s="27" t="s">
        <v>22</v>
      </c>
      <c r="C63" s="27"/>
      <c r="D63" s="27"/>
      <c r="E63" s="4" t="s">
        <v>15</v>
      </c>
      <c r="F63" s="5">
        <v>5</v>
      </c>
      <c r="G63" s="6">
        <v>50</v>
      </c>
      <c r="H63" s="7">
        <f t="shared" si="8"/>
        <v>0.1</v>
      </c>
      <c r="I63" s="8">
        <v>9</v>
      </c>
      <c r="J63" s="7">
        <f t="shared" si="9"/>
        <v>0.9</v>
      </c>
    </row>
    <row r="64" spans="1:10" x14ac:dyDescent="0.25">
      <c r="A64" s="4">
        <f t="shared" ref="A64" si="10">+A63+1</f>
        <v>9</v>
      </c>
      <c r="B64" s="27" t="s">
        <v>23</v>
      </c>
      <c r="C64" s="27"/>
      <c r="D64" s="27"/>
      <c r="E64" s="4" t="s">
        <v>20</v>
      </c>
      <c r="F64" s="5">
        <v>19</v>
      </c>
      <c r="G64" s="6">
        <v>1660</v>
      </c>
      <c r="H64" s="7">
        <f t="shared" si="8"/>
        <v>1.144578313253012E-2</v>
      </c>
      <c r="I64" s="8">
        <v>3</v>
      </c>
      <c r="J64" s="7">
        <f t="shared" si="9"/>
        <v>3.433734939759036E-2</v>
      </c>
    </row>
    <row r="65" spans="6:11" ht="18.75" x14ac:dyDescent="0.3">
      <c r="F65" s="16"/>
      <c r="G65" s="17"/>
      <c r="I65" t="s">
        <v>29</v>
      </c>
      <c r="J65" s="19">
        <f>SUM(J56:J64)</f>
        <v>13.550731492958096</v>
      </c>
    </row>
    <row r="66" spans="6:11" x14ac:dyDescent="0.25">
      <c r="J66" s="16"/>
    </row>
    <row r="67" spans="6:11" x14ac:dyDescent="0.25">
      <c r="I67" t="s">
        <v>38</v>
      </c>
      <c r="J67" s="16">
        <f>+J65/9</f>
        <v>1.5056368325508995</v>
      </c>
    </row>
    <row r="68" spans="6:11" x14ac:dyDescent="0.25">
      <c r="I68" t="s">
        <v>35</v>
      </c>
      <c r="J68" s="2">
        <v>0.08</v>
      </c>
    </row>
    <row r="69" spans="6:11" x14ac:dyDescent="0.25">
      <c r="I69" t="s">
        <v>27</v>
      </c>
      <c r="J69" s="2">
        <v>0.1</v>
      </c>
    </row>
    <row r="70" spans="6:11" ht="15.75" x14ac:dyDescent="0.25">
      <c r="I70" t="s">
        <v>39</v>
      </c>
      <c r="J70" s="25">
        <f>SUM(J67:J69)</f>
        <v>1.6856368325508997</v>
      </c>
      <c r="K70" s="24"/>
    </row>
    <row r="71" spans="6:11" ht="45" x14ac:dyDescent="0.25">
      <c r="I71" s="26" t="s">
        <v>36</v>
      </c>
      <c r="J71" s="16">
        <v>2.5</v>
      </c>
      <c r="K71" s="24"/>
    </row>
    <row r="72" spans="6:11" ht="18.75" x14ac:dyDescent="0.3">
      <c r="I72" t="s">
        <v>37</v>
      </c>
      <c r="J72" s="21">
        <f>+J71-J70</f>
        <v>0.81436316744910031</v>
      </c>
    </row>
  </sheetData>
  <mergeCells count="54">
    <mergeCell ref="B6:D6"/>
    <mergeCell ref="A1:J1"/>
    <mergeCell ref="A2:G2"/>
    <mergeCell ref="H2:J2"/>
    <mergeCell ref="A3:G3"/>
    <mergeCell ref="H3:J3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9:D19"/>
    <mergeCell ref="A25:J25"/>
    <mergeCell ref="A26:G26"/>
    <mergeCell ref="H26:J26"/>
    <mergeCell ref="A27:G27"/>
    <mergeCell ref="H27:J27"/>
    <mergeCell ref="B41:D41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2:D42"/>
    <mergeCell ref="B43:D43"/>
    <mergeCell ref="B44:D44"/>
    <mergeCell ref="A50:J50"/>
    <mergeCell ref="A51:G51"/>
    <mergeCell ref="H51:J51"/>
    <mergeCell ref="B64:D64"/>
    <mergeCell ref="A52:G52"/>
    <mergeCell ref="H52:J52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 Y NUEVO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Jimenez</dc:creator>
  <cp:lastModifiedBy>Gustavo Anzola</cp:lastModifiedBy>
  <dcterms:created xsi:type="dcterms:W3CDTF">2026-05-15T12:51:56Z</dcterms:created>
  <dcterms:modified xsi:type="dcterms:W3CDTF">2026-05-15T13:13:37Z</dcterms:modified>
</cp:coreProperties>
</file>